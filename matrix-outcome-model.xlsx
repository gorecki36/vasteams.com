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utcome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34D399"/>
      <sz val="14"/>
    </font>
    <font>
      <color rgb="00A1A1AA"/>
      <sz val="10"/>
    </font>
    <font>
      <b val="1"/>
      <color rgb="00FBBF24"/>
      <sz val="12"/>
    </font>
    <font>
      <b val="1"/>
      <color rgb="00FFFFFF"/>
      <sz val="11"/>
    </font>
    <font>
      <b val="1"/>
      <color rgb="0034D399"/>
      <sz val="11"/>
    </font>
    <font>
      <b val="1"/>
      <color rgb="0060A5FA"/>
      <sz val="11"/>
    </font>
    <font>
      <color rgb="00FFFFFF"/>
      <sz val="11"/>
    </font>
    <font>
      <b val="1"/>
      <color rgb="00FBBF24"/>
      <sz val="11"/>
    </font>
    <font>
      <b val="1"/>
      <color rgb="00F87171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1A2E1A"/>
        <bgColor rgb="001A2E1A"/>
      </patternFill>
    </fill>
    <fill>
      <patternFill patternType="solid">
        <fgColor rgb="002E2E1A"/>
        <bgColor rgb="002E2E1A"/>
      </patternFill>
    </fill>
    <fill>
      <patternFill patternType="solid">
        <fgColor rgb="002D2D2D"/>
        <bgColor rgb="002D2D2D"/>
      </patternFill>
    </fill>
    <fill>
      <patternFill patternType="solid">
        <fgColor rgb="002E1A1A"/>
        <bgColor rgb="002E1A1A"/>
      </patternFill>
    </fill>
    <fill>
      <patternFill patternType="solid">
        <fgColor rgb="001A1A2E"/>
        <bgColor rgb="001A1A2E"/>
      </patternFill>
    </fill>
  </fills>
  <borders count="6">
    <border>
      <left/>
      <right/>
      <top/>
      <bottom/>
      <diagonal/>
    </border>
    <border>
      <left style="thin">
        <color rgb="003F3F46"/>
      </left>
      <right style="thin">
        <color rgb="003F3F46"/>
      </right>
      <top style="thin">
        <color rgb="003F3F46"/>
      </top>
      <bottom style="thin">
        <color rgb="003F3F46"/>
      </bottom>
    </border>
    <border>
      <left/>
      <right/>
      <top style="thin">
        <color rgb="003F3F46"/>
      </top>
      <bottom/>
      <diagonal/>
    </border>
    <border>
      <left/>
      <right style="thin">
        <color rgb="003F3F46"/>
      </right>
      <top style="thin">
        <color rgb="003F3F46"/>
      </top>
      <bottom/>
      <diagonal/>
    </border>
    <border>
      <left/>
      <right/>
      <top style="thin">
        <color rgb="003F3F46"/>
      </top>
      <bottom style="thin">
        <color rgb="003F3F46"/>
      </bottom>
      <diagonal/>
    </border>
    <border>
      <left/>
      <right style="thin">
        <color rgb="003F3F46"/>
      </right>
      <top style="thin">
        <color rgb="003F3F46"/>
      </top>
      <bottom style="thin">
        <color rgb="003F3F4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1" pivotButton="0" quotePrefix="0" xfId="0"/>
    <xf numFmtId="1" fontId="5" fillId="3" borderId="1" pivotButton="0" quotePrefix="0" xfId="0"/>
    <xf numFmtId="0" fontId="2" fillId="3" borderId="1" pivotButton="0" quotePrefix="0" xfId="0"/>
    <xf numFmtId="0" fontId="4" fillId="4" borderId="1" pivotButton="0" quotePrefix="0" xfId="0"/>
    <xf numFmtId="164" fontId="6" fillId="4" borderId="1" pivotButton="0" quotePrefix="0" xfId="0"/>
    <xf numFmtId="0" fontId="2" fillId="4" borderId="1" pivotButton="0" quotePrefix="0" xfId="0"/>
    <xf numFmtId="1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0" fontId="2" fillId="5" borderId="1" pivotButton="0" quotePrefix="0" xfId="0"/>
    <xf numFmtId="1" fontId="5" fillId="5" borderId="1" pivotButton="0" quotePrefix="0" xfId="0"/>
    <xf numFmtId="0" fontId="4" fillId="6" borderId="1" pivotButton="0" quotePrefix="0" xfId="0"/>
    <xf numFmtId="2" fontId="7" fillId="6" borderId="1" pivotButton="0" quotePrefix="0" xfId="0"/>
    <xf numFmtId="2" fontId="2" fillId="6" borderId="1" pivotButton="0" quotePrefix="0" xfId="0"/>
    <xf numFmtId="165" fontId="6" fillId="6" borderId="1" pivotButton="0" quotePrefix="0" xfId="0"/>
    <xf numFmtId="1" fontId="8" fillId="6" borderId="1" pivotButton="0" quotePrefix="0" xfId="0"/>
    <xf numFmtId="0" fontId="9" fillId="6" borderId="1" pivotButton="0" quotePrefix="0" xfId="0"/>
    <xf numFmtId="0" fontId="4" fillId="7" borderId="1" pivotButton="0" quotePrefix="0" xfId="0"/>
    <xf numFmtId="2" fontId="6" fillId="7" borderId="1" pivotButton="0" quotePrefix="0" xfId="0"/>
    <xf numFmtId="1" fontId="4" fillId="2" borderId="1" pivotButton="0" quotePrefix="0" xfId="0"/>
    <xf numFmtId="1" fontId="7" fillId="2" borderId="1" pivotButton="0" quotePrefix="0" xfId="0"/>
    <xf numFmtId="1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Moment of Matrix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'Timeline'!I6</f>
            </strRef>
          </tx>
          <spPr>
            <a:ln xmlns:a="http://schemas.openxmlformats.org/drawingml/2006/main" w="25000">
              <a:solidFill>
                <a:srgbClr val="34D39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'Timeline'!$B$7:$B$32</f>
            </numRef>
          </cat>
          <val>
            <numRef>
              <f>'Timeline'!$I$7:$I$32</f>
            </numRef>
          </val>
        </ser>
        <ser>
          <idx val="1"/>
          <order val="1"/>
          <tx>
            <strRef>
              <f>'Timeline'!C6</f>
            </strRef>
          </tx>
          <spPr>
            <a:ln xmlns:a="http://schemas.openxmlformats.org/drawingml/2006/main" w="12000">
              <a:solidFill>
                <a:srgbClr val="A78BF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'Timeline'!$C$7:$C$32</f>
            </numRef>
          </val>
        </ser>
        <ser>
          <idx val="2"/>
          <order val="2"/>
          <tx>
            <strRef>
              <f>'Timeline'!D6</f>
            </strRef>
          </tx>
          <spPr>
            <a:ln xmlns:a="http://schemas.openxmlformats.org/drawingml/2006/main" w="12000">
              <a:solidFill>
                <a:srgbClr val="F9731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'Timeline'!$D$7:$D$32</f>
            </numRef>
          </val>
        </ser>
        <ser>
          <idx val="3"/>
          <order val="3"/>
          <tx>
            <strRef>
              <f>'Timeline'!E6</f>
            </strRef>
          </tx>
          <spPr>
            <a:ln xmlns:a="http://schemas.openxmlformats.org/drawingml/2006/main" w="12000">
              <a:solidFill>
                <a:srgbClr val="06B6D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'Timeline'!$E$7:$E$32</f>
            </numRef>
          </val>
        </ser>
        <ser>
          <idx val="4"/>
          <order val="4"/>
          <tx>
            <strRef>
              <f>'Timeline'!F6</f>
            </strRef>
          </tx>
          <spPr>
            <a:ln xmlns:a="http://schemas.openxmlformats.org/drawingml/2006/main" w="12000">
              <a:solidFill>
                <a:srgbClr val="EC489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'Timeline'!$F$7:$F$32</f>
            </numRef>
          </val>
        </ser>
        <ser>
          <idx val="5"/>
          <order val="5"/>
          <tx>
            <strRef>
              <f>'Timeline'!G6</f>
            </strRef>
          </tx>
          <spPr>
            <a:ln xmlns:a="http://schemas.openxmlformats.org/drawingml/2006/main" w="12000">
              <a:solidFill>
                <a:srgbClr val="EAB30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'Timeline'!$G$7:$G$32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4D399"/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5" customWidth="1" min="3" max="3"/>
    <col width="15" customWidth="1" min="4" max="4"/>
    <col width="40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MATRIX OUTCOME MODEL</t>
        </is>
      </c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Adjust the 7 input sliders. Everything else is computed.</t>
        </is>
      </c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t>INPUT FORCES</t>
        </is>
      </c>
      <c r="C5" s="4" t="inlineStr">
        <is>
          <t>Value (0-100)</t>
        </is>
      </c>
      <c r="D5" s="4" t="inlineStr">
        <is>
          <t>Default</t>
        </is>
      </c>
      <c r="E5" s="4" t="inlineStr">
        <is>
          <t>Description</t>
        </is>
      </c>
      <c r="F5" s="1" t="n"/>
      <c r="G5" s="1" t="n"/>
      <c r="H5" s="1" t="n"/>
      <c r="I5" s="1" t="n"/>
      <c r="J5" s="1" t="n"/>
      <c r="K5" s="1" t="n"/>
    </row>
    <row r="6">
      <c r="A6" s="1" t="n"/>
      <c r="B6" s="5" t="inlineStr">
        <is>
          <t>AI Acceleration</t>
        </is>
      </c>
      <c r="C6" s="6" t="n">
        <v>50</v>
      </c>
      <c r="D6" s="7" t="n">
        <v>50</v>
      </c>
      <c r="E6" s="7" t="inlineStr">
        <is>
          <t>Rate of AI capability growth</t>
        </is>
      </c>
      <c r="F6" s="1" t="n"/>
      <c r="G6" s="1" t="n"/>
      <c r="H6" s="1" t="n"/>
      <c r="I6" s="1" t="n"/>
      <c r="J6" s="1" t="n"/>
      <c r="K6" s="1" t="n"/>
    </row>
    <row r="7">
      <c r="A7" s="1" t="n"/>
      <c r="B7" s="5" t="inlineStr">
        <is>
          <t>Climate Crisis</t>
        </is>
      </c>
      <c r="C7" s="6" t="n">
        <v>50</v>
      </c>
      <c r="D7" s="7" t="n">
        <v>50</v>
      </c>
      <c r="E7" s="7" t="inlineStr">
        <is>
          <t>Severity of climate disruption</t>
        </is>
      </c>
      <c r="F7" s="1" t="n"/>
      <c r="G7" s="1" t="n"/>
      <c r="H7" s="1" t="n"/>
      <c r="I7" s="1" t="n"/>
      <c r="J7" s="1" t="n"/>
      <c r="K7" s="1" t="n"/>
    </row>
    <row r="8">
      <c r="A8" s="1" t="n"/>
      <c r="B8" s="5" t="inlineStr">
        <is>
          <t>Neural Interface Tech</t>
        </is>
      </c>
      <c r="C8" s="6" t="n">
        <v>50</v>
      </c>
      <c r="D8" s="7" t="n">
        <v>50</v>
      </c>
      <c r="E8" s="7" t="inlineStr">
        <is>
          <t>Brain-computer interface progress</t>
        </is>
      </c>
      <c r="F8" s="1" t="n"/>
      <c r="G8" s="1" t="n"/>
      <c r="H8" s="1" t="n"/>
      <c r="I8" s="1" t="n"/>
      <c r="J8" s="1" t="n"/>
      <c r="K8" s="1" t="n"/>
    </row>
    <row r="9">
      <c r="A9" s="1" t="n"/>
      <c r="B9" s="5" t="inlineStr">
        <is>
          <t>Corporate Power</t>
        </is>
      </c>
      <c r="C9" s="6" t="n">
        <v>50</v>
      </c>
      <c r="D9" s="7" t="n">
        <v>50</v>
      </c>
      <c r="E9" s="7" t="inlineStr">
        <is>
          <t>Concentration of corporate control</t>
        </is>
      </c>
      <c r="F9" s="1" t="n"/>
      <c r="G9" s="1" t="n"/>
      <c r="H9" s="1" t="n"/>
      <c r="I9" s="1" t="n"/>
      <c r="J9" s="1" t="n"/>
      <c r="K9" s="1" t="n"/>
    </row>
    <row r="10">
      <c r="A10" s="1" t="n"/>
      <c r="B10" s="5" t="inlineStr">
        <is>
          <t>Demographic Collapse</t>
        </is>
      </c>
      <c r="C10" s="6" t="n">
        <v>50</v>
      </c>
      <c r="D10" s="7" t="n">
        <v>50</v>
      </c>
      <c r="E10" s="7" t="inlineStr">
        <is>
          <t>Rate of population decline</t>
        </is>
      </c>
      <c r="F10" s="1" t="n"/>
      <c r="G10" s="1" t="n"/>
      <c r="H10" s="1" t="n"/>
      <c r="I10" s="1" t="n"/>
      <c r="J10" s="1" t="n"/>
      <c r="K10" s="1" t="n"/>
    </row>
    <row r="11">
      <c r="A11" s="1" t="n"/>
      <c r="B11" s="5" t="inlineStr">
        <is>
          <t>Digital Immersion</t>
        </is>
      </c>
      <c r="C11" s="6" t="n">
        <v>50</v>
      </c>
      <c r="D11" s="7" t="n">
        <v>50</v>
      </c>
      <c r="E11" s="7" t="inlineStr">
        <is>
          <t>Share of life in digital environments</t>
        </is>
      </c>
      <c r="F11" s="1" t="n"/>
      <c r="G11" s="1" t="n"/>
      <c r="H11" s="1" t="n"/>
      <c r="I11" s="1" t="n"/>
      <c r="J11" s="1" t="n"/>
      <c r="K11" s="1" t="n"/>
    </row>
    <row r="12">
      <c r="A12" s="1" t="n"/>
      <c r="B12" s="5" t="inlineStr">
        <is>
          <t>Global Convergence</t>
        </is>
      </c>
      <c r="C12" s="6" t="n">
        <v>50</v>
      </c>
      <c r="D12" s="7" t="n">
        <v>50</v>
      </c>
      <c r="E12" s="7" t="inlineStr">
        <is>
          <t>Whether regions converge or diverge</t>
        </is>
      </c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4" t="inlineStr">
        <is>
          <t>MODEL PARAMETERS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8" t="inlineStr">
        <is>
          <t>k (steepness)</t>
        </is>
      </c>
      <c r="C15" s="9" t="n">
        <v>0.065</v>
      </c>
      <c r="D15" s="1" t="n"/>
      <c r="E15" s="10" t="inlineStr">
        <is>
          <t>Controls transition speed — ~68yr from 10% to 90%</t>
        </is>
      </c>
      <c r="F15" s="1" t="n"/>
      <c r="G15" s="1" t="n"/>
      <c r="H15" s="1" t="n"/>
      <c r="I15" s="1" t="n"/>
      <c r="J15" s="1" t="n"/>
      <c r="K15" s="1" t="n"/>
    </row>
    <row r="16">
      <c r="A16" s="1" t="n"/>
      <c r="B16" s="8" t="inlineStr">
        <is>
          <t>Latest arrival year</t>
        </is>
      </c>
      <c r="C16" s="11" t="n">
        <v>2125</v>
      </c>
      <c r="D16" s="1" t="n"/>
      <c r="E16" s="10" t="inlineStr">
        <is>
          <t>Arrival year when pressure = 0</t>
        </is>
      </c>
      <c r="F16" s="1" t="n"/>
      <c r="G16" s="1" t="n"/>
      <c r="H16" s="1" t="n"/>
      <c r="I16" s="1" t="n"/>
      <c r="J16" s="1" t="n"/>
      <c r="K16" s="1" t="n"/>
    </row>
    <row r="17">
      <c r="A17" s="1" t="n"/>
      <c r="B17" s="8" t="inlineStr">
        <is>
          <t>Arrival range (years)</t>
        </is>
      </c>
      <c r="C17" s="11" t="n">
        <v>70</v>
      </c>
      <c r="D17" s="1" t="n"/>
      <c r="E17" s="10" t="inlineStr">
        <is>
          <t>How many years earlier when pressure = 100</t>
        </is>
      </c>
      <c r="F17" s="1" t="n"/>
      <c r="G17" s="1" t="n"/>
      <c r="H17" s="1" t="n"/>
      <c r="I17" s="1" t="n"/>
      <c r="J17" s="1" t="n"/>
      <c r="K17" s="1" t="n"/>
    </row>
    <row r="18">
      <c r="A18" s="1" t="n"/>
      <c r="B18" s="8" t="inlineStr">
        <is>
          <t>Tier 2 lag (years)</t>
        </is>
      </c>
      <c r="C18" s="11" t="n">
        <v>5</v>
      </c>
      <c r="D18" s="1" t="n"/>
      <c r="E18" s="10" t="inlineStr">
        <is>
          <t>Extra delay before downstream outcomes kick in</t>
        </is>
      </c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4" t="inlineStr">
        <is>
          <t>HOW IT WORKS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3" t="inlineStr">
        <is>
          <t>1. Each outcome has a 'pressure' (0-100) = weighted sum of inputs</t>
        </is>
      </c>
      <c r="C21" s="12" t="n"/>
      <c r="D21" s="12" t="n"/>
      <c r="E21" s="13" t="n"/>
      <c r="F21" s="1" t="n"/>
      <c r="G21" s="1" t="n"/>
      <c r="H21" s="1" t="n"/>
      <c r="I21" s="1" t="n"/>
      <c r="J21" s="1" t="n"/>
      <c r="K21" s="1" t="n"/>
    </row>
    <row r="22">
      <c r="A22" s="1" t="n"/>
      <c r="B22" s="3" t="inlineStr">
        <is>
          <t>2. Pressure determines the 'arrival year' — when that outcome crosses 50%</t>
        </is>
      </c>
      <c r="C22" s="12" t="n"/>
      <c r="D22" s="12" t="n"/>
      <c r="E22" s="13" t="n"/>
      <c r="F22" s="1" t="n"/>
      <c r="G22" s="1" t="n"/>
      <c r="H22" s="1" t="n"/>
      <c r="I22" s="1" t="n"/>
      <c r="J22" s="1" t="n"/>
      <c r="K22" s="1" t="n"/>
    </row>
    <row r="23">
      <c r="A23" s="1" t="n"/>
      <c r="B23" s="3" t="inlineStr">
        <is>
          <t>3. Higher pressure = earlier arrival = the crisis comes sooner</t>
        </is>
      </c>
      <c r="C23" s="12" t="n"/>
      <c r="D23" s="12" t="n"/>
      <c r="E23" s="13" t="n"/>
      <c r="F23" s="1" t="n"/>
      <c r="G23" s="1" t="n"/>
      <c r="H23" s="1" t="n"/>
      <c r="I23" s="1" t="n"/>
      <c r="J23" s="1" t="n"/>
      <c r="K23" s="1" t="n"/>
    </row>
    <row r="24">
      <c r="A24" s="1" t="n"/>
      <c r="B24" s="3" t="inlineStr">
        <is>
          <t>4. The outcome over time is a sigmoid: always 0→100, just shifted</t>
        </is>
      </c>
      <c r="C24" s="12" t="n"/>
      <c r="D24" s="12" t="n"/>
      <c r="E24" s="13" t="n"/>
      <c r="F24" s="1" t="n"/>
      <c r="G24" s="1" t="n"/>
      <c r="H24" s="1" t="n"/>
      <c r="I24" s="1" t="n"/>
      <c r="J24" s="1" t="n"/>
      <c r="K24" s="1" t="n"/>
    </row>
    <row r="25">
      <c r="A25" s="1" t="n"/>
      <c r="B25" s="3" t="inlineStr">
        <is>
          <t>5. Formula: outcome(year) = 100 / (1 + EXP(-k × (year - arrival_year)))</t>
        </is>
      </c>
      <c r="C25" s="12" t="n"/>
      <c r="D25" s="12" t="n"/>
      <c r="E25" s="13" t="n"/>
      <c r="F25" s="1" t="n"/>
      <c r="G25" s="1" t="n"/>
      <c r="H25" s="1" t="n"/>
      <c r="I25" s="1" t="n"/>
      <c r="J25" s="1" t="n"/>
      <c r="K25" s="1" t="n"/>
    </row>
    <row r="26">
      <c r="A26" s="1" t="n"/>
      <c r="B26" s="3" t="inlineStr">
        <is>
          <t>6. Moment of Matrix = weighted average of all 5 outcomes</t>
        </is>
      </c>
      <c r="C26" s="12" t="n"/>
      <c r="D26" s="12" t="n"/>
      <c r="E26" s="13" t="n"/>
      <c r="F26" s="1" t="n"/>
      <c r="G26" s="1" t="n"/>
      <c r="H26" s="1" t="n"/>
      <c r="I26" s="1" t="n"/>
      <c r="J26" s="1" t="n"/>
      <c r="K26" s="1" t="n"/>
    </row>
    <row r="27">
      <c r="A27" s="1" t="n"/>
      <c r="B27" s="3" t="inlineStr"/>
      <c r="C27" s="12" t="n"/>
      <c r="D27" s="12" t="n"/>
      <c r="E27" s="13" t="n"/>
      <c r="F27" s="1" t="n"/>
      <c r="G27" s="1" t="n"/>
      <c r="H27" s="1" t="n"/>
      <c r="I27" s="1" t="n"/>
      <c r="J27" s="1" t="n"/>
      <c r="K27" s="1" t="n"/>
    </row>
    <row r="28">
      <c r="A28" s="1" t="n"/>
      <c r="B28" s="3" t="inlineStr">
        <is>
          <t>→ Go to the 'Outcomes' tab to see the weight matrix</t>
        </is>
      </c>
      <c r="C28" s="12" t="n"/>
      <c r="D28" s="12" t="n"/>
      <c r="E28" s="13" t="n"/>
      <c r="F28" s="1" t="n"/>
      <c r="G28" s="1" t="n"/>
      <c r="H28" s="1" t="n"/>
      <c r="I28" s="1" t="n"/>
      <c r="J28" s="1" t="n"/>
      <c r="K28" s="1" t="n"/>
    </row>
    <row r="29">
      <c r="A29" s="1" t="n"/>
      <c r="B29" s="3" t="inlineStr">
        <is>
          <t>→ Go to the 'Timeline' tab to see the projections</t>
        </is>
      </c>
      <c r="C29" s="12" t="n"/>
      <c r="D29" s="12" t="n"/>
      <c r="E29" s="13" t="n"/>
      <c r="F29" s="1" t="n"/>
      <c r="G29" s="1" t="n"/>
      <c r="H29" s="1" t="n"/>
      <c r="I29" s="1" t="n"/>
      <c r="J29" s="1" t="n"/>
      <c r="K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</sheetData>
  <mergeCells count="11">
    <mergeCell ref="B23:E23"/>
    <mergeCell ref="B26:E26"/>
    <mergeCell ref="B27:E27"/>
    <mergeCell ref="B21:E21"/>
    <mergeCell ref="B29:E29"/>
    <mergeCell ref="B25:E25"/>
    <mergeCell ref="B3:E3"/>
    <mergeCell ref="B2:E2"/>
    <mergeCell ref="B24:E24"/>
    <mergeCell ref="B28:E28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87171"/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6" customWidth="1" min="3" max="3"/>
    <col width="14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>OUTCOME WEIGHT MATRIX</t>
        </is>
      </c>
      <c r="M2" s="1" t="n"/>
      <c r="N2" s="1" t="n"/>
    </row>
    <row r="3">
      <c r="A3" s="1" t="n"/>
      <c r="B3" s="3" t="inlineStr">
        <is>
          <t>Weights show how much each input contributes to each outcome. Pressure &amp; arrival are computed.</t>
        </is>
      </c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4" t="inlineStr">
        <is>
          <t>Outcome</t>
        </is>
      </c>
      <c r="C5" s="14" t="inlineStr">
        <is>
          <t>AI Accel</t>
        </is>
      </c>
      <c r="D5" s="14" t="inlineStr">
        <is>
          <t>Climate</t>
        </is>
      </c>
      <c r="E5" s="14" t="inlineStr">
        <is>
          <t>Neural</t>
        </is>
      </c>
      <c r="F5" s="14" t="inlineStr">
        <is>
          <t>Corporate</t>
        </is>
      </c>
      <c r="G5" s="14" t="inlineStr">
        <is>
          <t>Demographic</t>
        </is>
      </c>
      <c r="H5" s="14" t="inlineStr">
        <is>
          <t>Digital</t>
        </is>
      </c>
      <c r="I5" s="14" t="inlineStr">
        <is>
          <t>Global</t>
        </is>
      </c>
      <c r="J5" s="14" t="inlineStr"/>
      <c r="K5" s="14" t="inlineStr">
        <is>
          <t>Pressure</t>
        </is>
      </c>
      <c r="L5" s="14" t="inlineStr">
        <is>
          <t>Arrival Year</t>
        </is>
      </c>
      <c r="M5" s="1" t="n"/>
      <c r="N5" s="1" t="n"/>
    </row>
    <row r="6">
      <c r="A6" s="1" t="n"/>
      <c r="B6" s="15" t="inlineStr">
        <is>
          <t>(input values →)</t>
        </is>
      </c>
      <c r="C6" s="16">
        <f>Inputs!C6</f>
        <v/>
      </c>
      <c r="D6" s="16">
        <f>Inputs!C7</f>
        <v/>
      </c>
      <c r="E6" s="16">
        <f>Inputs!C8</f>
        <v/>
      </c>
      <c r="F6" s="16">
        <f>Inputs!C9</f>
        <v/>
      </c>
      <c r="G6" s="16">
        <f>Inputs!C10</f>
        <v/>
      </c>
      <c r="H6" s="16">
        <f>Inputs!C11</f>
        <v/>
      </c>
      <c r="I6" s="16">
        <f>Inputs!C12</f>
        <v/>
      </c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7" t="inlineStr">
        <is>
          <t>Meaning Crisis</t>
        </is>
      </c>
      <c r="C8" s="18" t="n">
        <v>0.25</v>
      </c>
      <c r="D8" s="19" t="n">
        <v>0</v>
      </c>
      <c r="E8" s="19" t="n">
        <v>0</v>
      </c>
      <c r="F8" s="18" t="n">
        <v>0.2</v>
      </c>
      <c r="G8" s="18" t="n">
        <v>0.2</v>
      </c>
      <c r="H8" s="18" t="n">
        <v>0.35</v>
      </c>
      <c r="I8" s="19" t="n">
        <v>0</v>
      </c>
      <c r="J8" s="1" t="n"/>
      <c r="K8" s="20">
        <f>C8*C6+D8*D6+E8*E6+F8*F6+G8*G6+H8*H6+I8*I6</f>
        <v/>
      </c>
      <c r="L8" s="21">
        <f>Inputs!C16-(K8/100)*Inputs!C17</f>
        <v/>
      </c>
      <c r="M8" s="1" t="n"/>
      <c r="N8" s="1" t="n"/>
    </row>
    <row r="9">
      <c r="A9" s="1" t="n"/>
      <c r="B9" s="17" t="inlineStr">
        <is>
          <t>Trust Collapse</t>
        </is>
      </c>
      <c r="C9" s="18" t="n">
        <v>0.25</v>
      </c>
      <c r="D9" s="18" t="n">
        <v>0.25</v>
      </c>
      <c r="E9" s="19" t="n">
        <v>0</v>
      </c>
      <c r="F9" s="18" t="n">
        <v>0.3</v>
      </c>
      <c r="G9" s="19" t="n">
        <v>0</v>
      </c>
      <c r="H9" s="18" t="n">
        <v>0.2</v>
      </c>
      <c r="I9" s="19" t="n">
        <v>0</v>
      </c>
      <c r="J9" s="1" t="n"/>
      <c r="K9" s="20">
        <f>C9*C6+D9*D6+E9*E6+F9*F6+G9*G6+H9*H6+I9*I6</f>
        <v/>
      </c>
      <c r="L9" s="21">
        <f>Inputs!C16-(K9/100)*Inputs!C17</f>
        <v/>
      </c>
      <c r="M9" s="1" t="n"/>
      <c r="N9" s="1" t="n"/>
    </row>
    <row r="10">
      <c r="A10" s="1" t="n"/>
      <c r="B10" s="17" t="inlineStr">
        <is>
          <t>Pod Economics</t>
        </is>
      </c>
      <c r="C10" s="18" t="n">
        <v>0.25</v>
      </c>
      <c r="D10" s="19" t="n">
        <v>0</v>
      </c>
      <c r="E10" s="18" t="n">
        <v>0.3</v>
      </c>
      <c r="F10" s="18" t="n">
        <v>0.25</v>
      </c>
      <c r="G10" s="19" t="n">
        <v>0</v>
      </c>
      <c r="H10" s="19" t="n">
        <v>0</v>
      </c>
      <c r="I10" s="18" t="n">
        <v>0.2</v>
      </c>
      <c r="J10" s="1" t="n"/>
      <c r="K10" s="20">
        <f>C10*C6+D10*D6+E10*E6+F10*F6+G10*G6+H10*H6+I10*I6</f>
        <v/>
      </c>
      <c r="L10" s="21">
        <f>Inputs!C16-(K10/100)*Inputs!C17</f>
        <v/>
      </c>
      <c r="M10" s="1" t="n"/>
      <c r="N10" s="1" t="n"/>
    </row>
    <row r="11">
      <c r="A11" s="1" t="n"/>
      <c r="B11" s="22" t="inlineStr">
        <is>
          <t>Escapism / Spiritual (Tier 2)</t>
        </is>
      </c>
      <c r="C11" s="19" t="n">
        <v>0</v>
      </c>
      <c r="D11" s="18" t="n">
        <v>0.2</v>
      </c>
      <c r="E11" s="18" t="n">
        <v>0.2</v>
      </c>
      <c r="F11" s="19" t="n">
        <v>0</v>
      </c>
      <c r="G11" s="19" t="n">
        <v>0</v>
      </c>
      <c r="H11" s="18" t="n">
        <v>0.25</v>
      </c>
      <c r="I11" s="19" t="n">
        <v>0</v>
      </c>
      <c r="J11" s="1" t="n"/>
      <c r="K11" s="20">
        <f>K8*0.35+0.2*D6+0.2*E6+0.25*H6</f>
        <v/>
      </c>
      <c r="L11" s="21">
        <f>Inputs!C16-(K11/100)*Inputs!C17+Inputs!C18</f>
        <v/>
      </c>
      <c r="M11" s="1" t="n"/>
      <c r="N11" s="1" t="n"/>
    </row>
    <row r="12">
      <c r="A12" s="1" t="n"/>
      <c r="B12" s="22" t="inlineStr">
        <is>
          <t>Economic Withdrawal (Tier 2)</t>
        </is>
      </c>
      <c r="C12" s="18" t="n">
        <v>0.35</v>
      </c>
      <c r="D12" s="19" t="n">
        <v>0</v>
      </c>
      <c r="E12" s="19" t="n">
        <v>0</v>
      </c>
      <c r="F12" s="18" t="n">
        <v>0.25</v>
      </c>
      <c r="G12" s="19" t="n">
        <v>0</v>
      </c>
      <c r="H12" s="19" t="n">
        <v>0</v>
      </c>
      <c r="I12" s="19" t="n">
        <v>0</v>
      </c>
      <c r="J12" s="1" t="n"/>
      <c r="K12" s="20">
        <f>C6*0.35+K8*0.40+F6*0.25</f>
        <v/>
      </c>
      <c r="L12" s="21">
        <f>Inputs!C16-(K12/100)*Inputs!C17+Inputs!C18</f>
        <v/>
      </c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4" t="inlineStr">
        <is>
          <t>MOMENT OF MATRIX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4" t="inlineStr">
        <is>
          <t>Weight</t>
        </is>
      </c>
      <c r="L14" s="1" t="n"/>
      <c r="M14" s="1" t="n"/>
      <c r="N14" s="1" t="n"/>
    </row>
    <row r="15">
      <c r="A15" s="1" t="n"/>
      <c r="B15" s="23" t="inlineStr">
        <is>
          <t>Meaning Crisis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24" t="n">
        <v>0.2</v>
      </c>
      <c r="L15" s="1" t="n"/>
      <c r="M15" s="1" t="n"/>
      <c r="N15" s="1" t="n"/>
    </row>
    <row r="16">
      <c r="A16" s="1" t="n"/>
      <c r="B16" s="23" t="inlineStr">
        <is>
          <t>Trust Collapse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24" t="n">
        <v>0.15</v>
      </c>
      <c r="L16" s="1" t="n"/>
      <c r="M16" s="1" t="n"/>
      <c r="N16" s="1" t="n"/>
    </row>
    <row r="17">
      <c r="A17" s="1" t="n"/>
      <c r="B17" s="23" t="inlineStr">
        <is>
          <t>Pod Economics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24" t="n">
        <v>0.15</v>
      </c>
      <c r="L17" s="1" t="n"/>
      <c r="M17" s="1" t="n"/>
      <c r="N17" s="1" t="n"/>
    </row>
    <row r="18">
      <c r="A18" s="1" t="n"/>
      <c r="B18" s="23" t="inlineStr">
        <is>
          <t>Escapism / Spiritual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24" t="n">
        <v>0.25</v>
      </c>
      <c r="L18" s="1" t="n"/>
      <c r="M18" s="1" t="n"/>
      <c r="N18" s="1" t="n"/>
    </row>
    <row r="19">
      <c r="A19" s="1" t="n"/>
      <c r="B19" s="23" t="inlineStr">
        <is>
          <t>Economic Withdrawal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24" t="n">
        <v>0.25</v>
      </c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2">
    <mergeCell ref="B2:L2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0A5FA"/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4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TIMELINE PROJECTIONS</t>
        </is>
      </c>
      <c r="J2" s="1" t="n"/>
      <c r="K2" s="1" t="n"/>
    </row>
    <row r="3">
      <c r="A3" s="1" t="n"/>
      <c r="B3" s="3" t="inlineStr">
        <is>
          <t>All values are live formulas. Change inputs on the Inputs tab and watch these update.</t>
        </is>
      </c>
      <c r="J3" s="1" t="n"/>
      <c r="K3" s="1" t="n"/>
    </row>
    <row r="4">
      <c r="A4" s="1" t="n"/>
      <c r="B4" s="3" t="inlineStr">
        <is>
          <t>Formula: 100 / (1 + EXP(-k × (year - arrival_year)))</t>
        </is>
      </c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14" t="inlineStr">
        <is>
          <t>Year</t>
        </is>
      </c>
      <c r="C6" s="14" t="inlineStr">
        <is>
          <t>Meaning Crisis</t>
        </is>
      </c>
      <c r="D6" s="14" t="inlineStr">
        <is>
          <t>Trust Collapse</t>
        </is>
      </c>
      <c r="E6" s="14" t="inlineStr">
        <is>
          <t>Pod Economics</t>
        </is>
      </c>
      <c r="F6" s="14" t="inlineStr">
        <is>
          <t>Escapism</t>
        </is>
      </c>
      <c r="G6" s="14" t="inlineStr">
        <is>
          <t>Withdrawal</t>
        </is>
      </c>
      <c r="H6" s="14" t="inlineStr"/>
      <c r="I6" s="14" t="inlineStr">
        <is>
          <t>MATRIX</t>
        </is>
      </c>
      <c r="J6" s="1" t="n"/>
      <c r="K6" s="1" t="n"/>
    </row>
    <row r="7">
      <c r="A7" s="1" t="n"/>
      <c r="B7" s="25" t="n">
        <v>2025</v>
      </c>
      <c r="C7" s="26">
        <f>ROUND(100/(1+EXP(-Inputs!C15*(B7-Outcomes!L8))),0)</f>
        <v/>
      </c>
      <c r="D7" s="26">
        <f>ROUND(100/(1+EXP(-Inputs!C15*(B7-Outcomes!L9))),0)</f>
        <v/>
      </c>
      <c r="E7" s="26">
        <f>ROUND(100/(1+EXP(-Inputs!C15*(B7-Outcomes!L10))),0)</f>
        <v/>
      </c>
      <c r="F7" s="26">
        <f>ROUND(100/(1+EXP(-Inputs!C15*(B7-Outcomes!L11))),0)</f>
        <v/>
      </c>
      <c r="G7" s="26">
        <f>ROUND(100/(1+EXP(-Inputs!C15*(B7-Outcomes!L12))),0)</f>
        <v/>
      </c>
      <c r="H7" s="1" t="n"/>
      <c r="I7" s="27">
        <f>ROUND(C7*Outcomes!K15+D7*Outcomes!K16+E7*Outcomes!K17+F7*Outcomes!K18+G7*Outcomes!K19,0)</f>
        <v/>
      </c>
      <c r="J7" s="1" t="n"/>
      <c r="K7" s="1" t="n"/>
    </row>
    <row r="8">
      <c r="A8" s="1" t="n"/>
      <c r="B8" s="25" t="n">
        <v>2030</v>
      </c>
      <c r="C8" s="26">
        <f>ROUND(100/(1+EXP(-Inputs!C15*(B8-Outcomes!L8))),0)</f>
        <v/>
      </c>
      <c r="D8" s="26">
        <f>ROUND(100/(1+EXP(-Inputs!C15*(B8-Outcomes!L9))),0)</f>
        <v/>
      </c>
      <c r="E8" s="26">
        <f>ROUND(100/(1+EXP(-Inputs!C15*(B8-Outcomes!L10))),0)</f>
        <v/>
      </c>
      <c r="F8" s="26">
        <f>ROUND(100/(1+EXP(-Inputs!C15*(B8-Outcomes!L11))),0)</f>
        <v/>
      </c>
      <c r="G8" s="26">
        <f>ROUND(100/(1+EXP(-Inputs!C15*(B8-Outcomes!L12))),0)</f>
        <v/>
      </c>
      <c r="H8" s="1" t="n"/>
      <c r="I8" s="27">
        <f>ROUND(C8*Outcomes!K15+D8*Outcomes!K16+E8*Outcomes!K17+F8*Outcomes!K18+G8*Outcomes!K19,0)</f>
        <v/>
      </c>
      <c r="J8" s="1" t="n"/>
      <c r="K8" s="1" t="n"/>
    </row>
    <row r="9">
      <c r="A9" s="1" t="n"/>
      <c r="B9" s="25" t="n">
        <v>2035</v>
      </c>
      <c r="C9" s="26">
        <f>ROUND(100/(1+EXP(-Inputs!C15*(B9-Outcomes!L8))),0)</f>
        <v/>
      </c>
      <c r="D9" s="26">
        <f>ROUND(100/(1+EXP(-Inputs!C15*(B9-Outcomes!L9))),0)</f>
        <v/>
      </c>
      <c r="E9" s="26">
        <f>ROUND(100/(1+EXP(-Inputs!C15*(B9-Outcomes!L10))),0)</f>
        <v/>
      </c>
      <c r="F9" s="26">
        <f>ROUND(100/(1+EXP(-Inputs!C15*(B9-Outcomes!L11))),0)</f>
        <v/>
      </c>
      <c r="G9" s="26">
        <f>ROUND(100/(1+EXP(-Inputs!C15*(B9-Outcomes!L12))),0)</f>
        <v/>
      </c>
      <c r="H9" s="1" t="n"/>
      <c r="I9" s="27">
        <f>ROUND(C9*Outcomes!K15+D9*Outcomes!K16+E9*Outcomes!K17+F9*Outcomes!K18+G9*Outcomes!K19,0)</f>
        <v/>
      </c>
      <c r="J9" s="1" t="n"/>
      <c r="K9" s="1" t="n"/>
    </row>
    <row r="10">
      <c r="A10" s="1" t="n"/>
      <c r="B10" s="25" t="n">
        <v>2040</v>
      </c>
      <c r="C10" s="26">
        <f>ROUND(100/(1+EXP(-Inputs!C15*(B10-Outcomes!L8))),0)</f>
        <v/>
      </c>
      <c r="D10" s="26">
        <f>ROUND(100/(1+EXP(-Inputs!C15*(B10-Outcomes!L9))),0)</f>
        <v/>
      </c>
      <c r="E10" s="26">
        <f>ROUND(100/(1+EXP(-Inputs!C15*(B10-Outcomes!L10))),0)</f>
        <v/>
      </c>
      <c r="F10" s="26">
        <f>ROUND(100/(1+EXP(-Inputs!C15*(B10-Outcomes!L11))),0)</f>
        <v/>
      </c>
      <c r="G10" s="26">
        <f>ROUND(100/(1+EXP(-Inputs!C15*(B10-Outcomes!L12))),0)</f>
        <v/>
      </c>
      <c r="H10" s="1" t="n"/>
      <c r="I10" s="27">
        <f>ROUND(C10*Outcomes!K15+D10*Outcomes!K16+E10*Outcomes!K17+F10*Outcomes!K18+G10*Outcomes!K19,0)</f>
        <v/>
      </c>
      <c r="J10" s="1" t="n"/>
      <c r="K10" s="1" t="n"/>
    </row>
    <row r="11">
      <c r="A11" s="1" t="n"/>
      <c r="B11" s="25" t="n">
        <v>2045</v>
      </c>
      <c r="C11" s="26">
        <f>ROUND(100/(1+EXP(-Inputs!C15*(B11-Outcomes!L8))),0)</f>
        <v/>
      </c>
      <c r="D11" s="26">
        <f>ROUND(100/(1+EXP(-Inputs!C15*(B11-Outcomes!L9))),0)</f>
        <v/>
      </c>
      <c r="E11" s="26">
        <f>ROUND(100/(1+EXP(-Inputs!C15*(B11-Outcomes!L10))),0)</f>
        <v/>
      </c>
      <c r="F11" s="26">
        <f>ROUND(100/(1+EXP(-Inputs!C15*(B11-Outcomes!L11))),0)</f>
        <v/>
      </c>
      <c r="G11" s="26">
        <f>ROUND(100/(1+EXP(-Inputs!C15*(B11-Outcomes!L12))),0)</f>
        <v/>
      </c>
      <c r="H11" s="1" t="n"/>
      <c r="I11" s="27">
        <f>ROUND(C11*Outcomes!K15+D11*Outcomes!K16+E11*Outcomes!K17+F11*Outcomes!K18+G11*Outcomes!K19,0)</f>
        <v/>
      </c>
      <c r="J11" s="1" t="n"/>
      <c r="K11" s="1" t="n"/>
    </row>
    <row r="12">
      <c r="A12" s="1" t="n"/>
      <c r="B12" s="25" t="n">
        <v>2050</v>
      </c>
      <c r="C12" s="26">
        <f>ROUND(100/(1+EXP(-Inputs!C15*(B12-Outcomes!L8))),0)</f>
        <v/>
      </c>
      <c r="D12" s="26">
        <f>ROUND(100/(1+EXP(-Inputs!C15*(B12-Outcomes!L9))),0)</f>
        <v/>
      </c>
      <c r="E12" s="26">
        <f>ROUND(100/(1+EXP(-Inputs!C15*(B12-Outcomes!L10))),0)</f>
        <v/>
      </c>
      <c r="F12" s="26">
        <f>ROUND(100/(1+EXP(-Inputs!C15*(B12-Outcomes!L11))),0)</f>
        <v/>
      </c>
      <c r="G12" s="26">
        <f>ROUND(100/(1+EXP(-Inputs!C15*(B12-Outcomes!L12))),0)</f>
        <v/>
      </c>
      <c r="H12" s="1" t="n"/>
      <c r="I12" s="27">
        <f>ROUND(C12*Outcomes!K15+D12*Outcomes!K16+E12*Outcomes!K17+F12*Outcomes!K18+G12*Outcomes!K19,0)</f>
        <v/>
      </c>
      <c r="J12" s="1" t="n"/>
      <c r="K12" s="1" t="n"/>
    </row>
    <row r="13">
      <c r="A13" s="1" t="n"/>
      <c r="B13" s="25" t="n">
        <v>2055</v>
      </c>
      <c r="C13" s="26">
        <f>ROUND(100/(1+EXP(-Inputs!C15*(B13-Outcomes!L8))),0)</f>
        <v/>
      </c>
      <c r="D13" s="26">
        <f>ROUND(100/(1+EXP(-Inputs!C15*(B13-Outcomes!L9))),0)</f>
        <v/>
      </c>
      <c r="E13" s="26">
        <f>ROUND(100/(1+EXP(-Inputs!C15*(B13-Outcomes!L10))),0)</f>
        <v/>
      </c>
      <c r="F13" s="26">
        <f>ROUND(100/(1+EXP(-Inputs!C15*(B13-Outcomes!L11))),0)</f>
        <v/>
      </c>
      <c r="G13" s="26">
        <f>ROUND(100/(1+EXP(-Inputs!C15*(B13-Outcomes!L12))),0)</f>
        <v/>
      </c>
      <c r="H13" s="1" t="n"/>
      <c r="I13" s="27">
        <f>ROUND(C13*Outcomes!K15+D13*Outcomes!K16+E13*Outcomes!K17+F13*Outcomes!K18+G13*Outcomes!K19,0)</f>
        <v/>
      </c>
      <c r="J13" s="1" t="n"/>
      <c r="K13" s="1" t="n"/>
    </row>
    <row r="14">
      <c r="A14" s="1" t="n"/>
      <c r="B14" s="25" t="n">
        <v>2060</v>
      </c>
      <c r="C14" s="26">
        <f>ROUND(100/(1+EXP(-Inputs!C15*(B14-Outcomes!L8))),0)</f>
        <v/>
      </c>
      <c r="D14" s="26">
        <f>ROUND(100/(1+EXP(-Inputs!C15*(B14-Outcomes!L9))),0)</f>
        <v/>
      </c>
      <c r="E14" s="26">
        <f>ROUND(100/(1+EXP(-Inputs!C15*(B14-Outcomes!L10))),0)</f>
        <v/>
      </c>
      <c r="F14" s="26">
        <f>ROUND(100/(1+EXP(-Inputs!C15*(B14-Outcomes!L11))),0)</f>
        <v/>
      </c>
      <c r="G14" s="26">
        <f>ROUND(100/(1+EXP(-Inputs!C15*(B14-Outcomes!L12))),0)</f>
        <v/>
      </c>
      <c r="H14" s="1" t="n"/>
      <c r="I14" s="27">
        <f>ROUND(C14*Outcomes!K15+D14*Outcomes!K16+E14*Outcomes!K17+F14*Outcomes!K18+G14*Outcomes!K19,0)</f>
        <v/>
      </c>
      <c r="J14" s="1" t="n"/>
      <c r="K14" s="1" t="n"/>
    </row>
    <row r="15">
      <c r="A15" s="1" t="n"/>
      <c r="B15" s="25" t="n">
        <v>2065</v>
      </c>
      <c r="C15" s="26">
        <f>ROUND(100/(1+EXP(-Inputs!C15*(B15-Outcomes!L8))),0)</f>
        <v/>
      </c>
      <c r="D15" s="26">
        <f>ROUND(100/(1+EXP(-Inputs!C15*(B15-Outcomes!L9))),0)</f>
        <v/>
      </c>
      <c r="E15" s="26">
        <f>ROUND(100/(1+EXP(-Inputs!C15*(B15-Outcomes!L10))),0)</f>
        <v/>
      </c>
      <c r="F15" s="26">
        <f>ROUND(100/(1+EXP(-Inputs!C15*(B15-Outcomes!L11))),0)</f>
        <v/>
      </c>
      <c r="G15" s="26">
        <f>ROUND(100/(1+EXP(-Inputs!C15*(B15-Outcomes!L12))),0)</f>
        <v/>
      </c>
      <c r="H15" s="1" t="n"/>
      <c r="I15" s="27">
        <f>ROUND(C15*Outcomes!K15+D15*Outcomes!K16+E15*Outcomes!K17+F15*Outcomes!K18+G15*Outcomes!K19,0)</f>
        <v/>
      </c>
      <c r="J15" s="1" t="n"/>
      <c r="K15" s="1" t="n"/>
    </row>
    <row r="16">
      <c r="A16" s="1" t="n"/>
      <c r="B16" s="25" t="n">
        <v>2070</v>
      </c>
      <c r="C16" s="26">
        <f>ROUND(100/(1+EXP(-Inputs!C15*(B16-Outcomes!L8))),0)</f>
        <v/>
      </c>
      <c r="D16" s="26">
        <f>ROUND(100/(1+EXP(-Inputs!C15*(B16-Outcomes!L9))),0)</f>
        <v/>
      </c>
      <c r="E16" s="26">
        <f>ROUND(100/(1+EXP(-Inputs!C15*(B16-Outcomes!L10))),0)</f>
        <v/>
      </c>
      <c r="F16" s="26">
        <f>ROUND(100/(1+EXP(-Inputs!C15*(B16-Outcomes!L11))),0)</f>
        <v/>
      </c>
      <c r="G16" s="26">
        <f>ROUND(100/(1+EXP(-Inputs!C15*(B16-Outcomes!L12))),0)</f>
        <v/>
      </c>
      <c r="H16" s="1" t="n"/>
      <c r="I16" s="27">
        <f>ROUND(C16*Outcomes!K15+D16*Outcomes!K16+E16*Outcomes!K17+F16*Outcomes!K18+G16*Outcomes!K19,0)</f>
        <v/>
      </c>
      <c r="J16" s="1" t="n"/>
      <c r="K16" s="1" t="n"/>
    </row>
    <row r="17">
      <c r="A17" s="1" t="n"/>
      <c r="B17" s="25" t="n">
        <v>2075</v>
      </c>
      <c r="C17" s="26">
        <f>ROUND(100/(1+EXP(-Inputs!C15*(B17-Outcomes!L8))),0)</f>
        <v/>
      </c>
      <c r="D17" s="26">
        <f>ROUND(100/(1+EXP(-Inputs!C15*(B17-Outcomes!L9))),0)</f>
        <v/>
      </c>
      <c r="E17" s="26">
        <f>ROUND(100/(1+EXP(-Inputs!C15*(B17-Outcomes!L10))),0)</f>
        <v/>
      </c>
      <c r="F17" s="26">
        <f>ROUND(100/(1+EXP(-Inputs!C15*(B17-Outcomes!L11))),0)</f>
        <v/>
      </c>
      <c r="G17" s="26">
        <f>ROUND(100/(1+EXP(-Inputs!C15*(B17-Outcomes!L12))),0)</f>
        <v/>
      </c>
      <c r="H17" s="1" t="n"/>
      <c r="I17" s="27">
        <f>ROUND(C17*Outcomes!K15+D17*Outcomes!K16+E17*Outcomes!K17+F17*Outcomes!K18+G17*Outcomes!K19,0)</f>
        <v/>
      </c>
      <c r="J17" s="1" t="n"/>
      <c r="K17" s="1" t="n"/>
    </row>
    <row r="18">
      <c r="A18" s="1" t="n"/>
      <c r="B18" s="25" t="n">
        <v>2080</v>
      </c>
      <c r="C18" s="26">
        <f>ROUND(100/(1+EXP(-Inputs!C15*(B18-Outcomes!L8))),0)</f>
        <v/>
      </c>
      <c r="D18" s="26">
        <f>ROUND(100/(1+EXP(-Inputs!C15*(B18-Outcomes!L9))),0)</f>
        <v/>
      </c>
      <c r="E18" s="26">
        <f>ROUND(100/(1+EXP(-Inputs!C15*(B18-Outcomes!L10))),0)</f>
        <v/>
      </c>
      <c r="F18" s="26">
        <f>ROUND(100/(1+EXP(-Inputs!C15*(B18-Outcomes!L11))),0)</f>
        <v/>
      </c>
      <c r="G18" s="26">
        <f>ROUND(100/(1+EXP(-Inputs!C15*(B18-Outcomes!L12))),0)</f>
        <v/>
      </c>
      <c r="H18" s="1" t="n"/>
      <c r="I18" s="27">
        <f>ROUND(C18*Outcomes!K15+D18*Outcomes!K16+E18*Outcomes!K17+F18*Outcomes!K18+G18*Outcomes!K19,0)</f>
        <v/>
      </c>
      <c r="J18" s="1" t="n"/>
      <c r="K18" s="1" t="n"/>
    </row>
    <row r="19">
      <c r="A19" s="1" t="n"/>
      <c r="B19" s="25" t="n">
        <v>2085</v>
      </c>
      <c r="C19" s="26">
        <f>ROUND(100/(1+EXP(-Inputs!C15*(B19-Outcomes!L8))),0)</f>
        <v/>
      </c>
      <c r="D19" s="26">
        <f>ROUND(100/(1+EXP(-Inputs!C15*(B19-Outcomes!L9))),0)</f>
        <v/>
      </c>
      <c r="E19" s="26">
        <f>ROUND(100/(1+EXP(-Inputs!C15*(B19-Outcomes!L10))),0)</f>
        <v/>
      </c>
      <c r="F19" s="26">
        <f>ROUND(100/(1+EXP(-Inputs!C15*(B19-Outcomes!L11))),0)</f>
        <v/>
      </c>
      <c r="G19" s="26">
        <f>ROUND(100/(1+EXP(-Inputs!C15*(B19-Outcomes!L12))),0)</f>
        <v/>
      </c>
      <c r="H19" s="1" t="n"/>
      <c r="I19" s="27">
        <f>ROUND(C19*Outcomes!K15+D19*Outcomes!K16+E19*Outcomes!K17+F19*Outcomes!K18+G19*Outcomes!K19,0)</f>
        <v/>
      </c>
      <c r="J19" s="1" t="n"/>
      <c r="K19" s="1" t="n"/>
    </row>
    <row r="20">
      <c r="A20" s="1" t="n"/>
      <c r="B20" s="25" t="n">
        <v>2090</v>
      </c>
      <c r="C20" s="26">
        <f>ROUND(100/(1+EXP(-Inputs!C15*(B20-Outcomes!L8))),0)</f>
        <v/>
      </c>
      <c r="D20" s="26">
        <f>ROUND(100/(1+EXP(-Inputs!C15*(B20-Outcomes!L9))),0)</f>
        <v/>
      </c>
      <c r="E20" s="26">
        <f>ROUND(100/(1+EXP(-Inputs!C15*(B20-Outcomes!L10))),0)</f>
        <v/>
      </c>
      <c r="F20" s="26">
        <f>ROUND(100/(1+EXP(-Inputs!C15*(B20-Outcomes!L11))),0)</f>
        <v/>
      </c>
      <c r="G20" s="26">
        <f>ROUND(100/(1+EXP(-Inputs!C15*(B20-Outcomes!L12))),0)</f>
        <v/>
      </c>
      <c r="H20" s="1" t="n"/>
      <c r="I20" s="27">
        <f>ROUND(C20*Outcomes!K15+D20*Outcomes!K16+E20*Outcomes!K17+F20*Outcomes!K18+G20*Outcomes!K19,0)</f>
        <v/>
      </c>
      <c r="J20" s="1" t="n"/>
      <c r="K20" s="1" t="n"/>
    </row>
    <row r="21">
      <c r="A21" s="1" t="n"/>
      <c r="B21" s="25" t="n">
        <v>2095</v>
      </c>
      <c r="C21" s="26">
        <f>ROUND(100/(1+EXP(-Inputs!C15*(B21-Outcomes!L8))),0)</f>
        <v/>
      </c>
      <c r="D21" s="26">
        <f>ROUND(100/(1+EXP(-Inputs!C15*(B21-Outcomes!L9))),0)</f>
        <v/>
      </c>
      <c r="E21" s="26">
        <f>ROUND(100/(1+EXP(-Inputs!C15*(B21-Outcomes!L10))),0)</f>
        <v/>
      </c>
      <c r="F21" s="26">
        <f>ROUND(100/(1+EXP(-Inputs!C15*(B21-Outcomes!L11))),0)</f>
        <v/>
      </c>
      <c r="G21" s="26">
        <f>ROUND(100/(1+EXP(-Inputs!C15*(B21-Outcomes!L12))),0)</f>
        <v/>
      </c>
      <c r="H21" s="1" t="n"/>
      <c r="I21" s="27">
        <f>ROUND(C21*Outcomes!K15+D21*Outcomes!K16+E21*Outcomes!K17+F21*Outcomes!K18+G21*Outcomes!K19,0)</f>
        <v/>
      </c>
      <c r="J21" s="1" t="n"/>
      <c r="K21" s="1" t="n"/>
    </row>
    <row r="22">
      <c r="A22" s="1" t="n"/>
      <c r="B22" s="25" t="n">
        <v>2100</v>
      </c>
      <c r="C22" s="26">
        <f>ROUND(100/(1+EXP(-Inputs!C15*(B22-Outcomes!L8))),0)</f>
        <v/>
      </c>
      <c r="D22" s="26">
        <f>ROUND(100/(1+EXP(-Inputs!C15*(B22-Outcomes!L9))),0)</f>
        <v/>
      </c>
      <c r="E22" s="26">
        <f>ROUND(100/(1+EXP(-Inputs!C15*(B22-Outcomes!L10))),0)</f>
        <v/>
      </c>
      <c r="F22" s="26">
        <f>ROUND(100/(1+EXP(-Inputs!C15*(B22-Outcomes!L11))),0)</f>
        <v/>
      </c>
      <c r="G22" s="26">
        <f>ROUND(100/(1+EXP(-Inputs!C15*(B22-Outcomes!L12))),0)</f>
        <v/>
      </c>
      <c r="H22" s="1" t="n"/>
      <c r="I22" s="27">
        <f>ROUND(C22*Outcomes!K15+D22*Outcomes!K16+E22*Outcomes!K17+F22*Outcomes!K18+G22*Outcomes!K19,0)</f>
        <v/>
      </c>
      <c r="J22" s="1" t="n"/>
      <c r="K22" s="1" t="n"/>
    </row>
    <row r="23">
      <c r="A23" s="1" t="n"/>
      <c r="B23" s="25" t="n">
        <v>2105</v>
      </c>
      <c r="C23" s="26">
        <f>ROUND(100/(1+EXP(-Inputs!C15*(B23-Outcomes!L8))),0)</f>
        <v/>
      </c>
      <c r="D23" s="26">
        <f>ROUND(100/(1+EXP(-Inputs!C15*(B23-Outcomes!L9))),0)</f>
        <v/>
      </c>
      <c r="E23" s="26">
        <f>ROUND(100/(1+EXP(-Inputs!C15*(B23-Outcomes!L10))),0)</f>
        <v/>
      </c>
      <c r="F23" s="26">
        <f>ROUND(100/(1+EXP(-Inputs!C15*(B23-Outcomes!L11))),0)</f>
        <v/>
      </c>
      <c r="G23" s="26">
        <f>ROUND(100/(1+EXP(-Inputs!C15*(B23-Outcomes!L12))),0)</f>
        <v/>
      </c>
      <c r="H23" s="1" t="n"/>
      <c r="I23" s="27">
        <f>ROUND(C23*Outcomes!K15+D23*Outcomes!K16+E23*Outcomes!K17+F23*Outcomes!K18+G23*Outcomes!K19,0)</f>
        <v/>
      </c>
      <c r="J23" s="1" t="n"/>
      <c r="K23" s="1" t="n"/>
    </row>
    <row r="24">
      <c r="A24" s="1" t="n"/>
      <c r="B24" s="25" t="n">
        <v>2110</v>
      </c>
      <c r="C24" s="26">
        <f>ROUND(100/(1+EXP(-Inputs!C15*(B24-Outcomes!L8))),0)</f>
        <v/>
      </c>
      <c r="D24" s="26">
        <f>ROUND(100/(1+EXP(-Inputs!C15*(B24-Outcomes!L9))),0)</f>
        <v/>
      </c>
      <c r="E24" s="26">
        <f>ROUND(100/(1+EXP(-Inputs!C15*(B24-Outcomes!L10))),0)</f>
        <v/>
      </c>
      <c r="F24" s="26">
        <f>ROUND(100/(1+EXP(-Inputs!C15*(B24-Outcomes!L11))),0)</f>
        <v/>
      </c>
      <c r="G24" s="26">
        <f>ROUND(100/(1+EXP(-Inputs!C15*(B24-Outcomes!L12))),0)</f>
        <v/>
      </c>
      <c r="H24" s="1" t="n"/>
      <c r="I24" s="27">
        <f>ROUND(C24*Outcomes!K15+D24*Outcomes!K16+E24*Outcomes!K17+F24*Outcomes!K18+G24*Outcomes!K19,0)</f>
        <v/>
      </c>
      <c r="J24" s="1" t="n"/>
      <c r="K24" s="1" t="n"/>
    </row>
    <row r="25">
      <c r="A25" s="1" t="n"/>
      <c r="B25" s="25" t="n">
        <v>2115</v>
      </c>
      <c r="C25" s="26">
        <f>ROUND(100/(1+EXP(-Inputs!C15*(B25-Outcomes!L8))),0)</f>
        <v/>
      </c>
      <c r="D25" s="26">
        <f>ROUND(100/(1+EXP(-Inputs!C15*(B25-Outcomes!L9))),0)</f>
        <v/>
      </c>
      <c r="E25" s="26">
        <f>ROUND(100/(1+EXP(-Inputs!C15*(B25-Outcomes!L10))),0)</f>
        <v/>
      </c>
      <c r="F25" s="26">
        <f>ROUND(100/(1+EXP(-Inputs!C15*(B25-Outcomes!L11))),0)</f>
        <v/>
      </c>
      <c r="G25" s="26">
        <f>ROUND(100/(1+EXP(-Inputs!C15*(B25-Outcomes!L12))),0)</f>
        <v/>
      </c>
      <c r="H25" s="1" t="n"/>
      <c r="I25" s="27">
        <f>ROUND(C25*Outcomes!K15+D25*Outcomes!K16+E25*Outcomes!K17+F25*Outcomes!K18+G25*Outcomes!K19,0)</f>
        <v/>
      </c>
      <c r="J25" s="1" t="n"/>
      <c r="K25" s="1" t="n"/>
    </row>
    <row r="26">
      <c r="A26" s="1" t="n"/>
      <c r="B26" s="25" t="n">
        <v>2120</v>
      </c>
      <c r="C26" s="26">
        <f>ROUND(100/(1+EXP(-Inputs!C15*(B26-Outcomes!L8))),0)</f>
        <v/>
      </c>
      <c r="D26" s="26">
        <f>ROUND(100/(1+EXP(-Inputs!C15*(B26-Outcomes!L9))),0)</f>
        <v/>
      </c>
      <c r="E26" s="26">
        <f>ROUND(100/(1+EXP(-Inputs!C15*(B26-Outcomes!L10))),0)</f>
        <v/>
      </c>
      <c r="F26" s="26">
        <f>ROUND(100/(1+EXP(-Inputs!C15*(B26-Outcomes!L11))),0)</f>
        <v/>
      </c>
      <c r="G26" s="26">
        <f>ROUND(100/(1+EXP(-Inputs!C15*(B26-Outcomes!L12))),0)</f>
        <v/>
      </c>
      <c r="H26" s="1" t="n"/>
      <c r="I26" s="27">
        <f>ROUND(C26*Outcomes!K15+D26*Outcomes!K16+E26*Outcomes!K17+F26*Outcomes!K18+G26*Outcomes!K19,0)</f>
        <v/>
      </c>
      <c r="J26" s="1" t="n"/>
      <c r="K26" s="1" t="n"/>
    </row>
    <row r="27">
      <c r="A27" s="1" t="n"/>
      <c r="B27" s="25" t="n">
        <v>2125</v>
      </c>
      <c r="C27" s="26">
        <f>ROUND(100/(1+EXP(-Inputs!C15*(B27-Outcomes!L8))),0)</f>
        <v/>
      </c>
      <c r="D27" s="26">
        <f>ROUND(100/(1+EXP(-Inputs!C15*(B27-Outcomes!L9))),0)</f>
        <v/>
      </c>
      <c r="E27" s="26">
        <f>ROUND(100/(1+EXP(-Inputs!C15*(B27-Outcomes!L10))),0)</f>
        <v/>
      </c>
      <c r="F27" s="26">
        <f>ROUND(100/(1+EXP(-Inputs!C15*(B27-Outcomes!L11))),0)</f>
        <v/>
      </c>
      <c r="G27" s="26">
        <f>ROUND(100/(1+EXP(-Inputs!C15*(B27-Outcomes!L12))),0)</f>
        <v/>
      </c>
      <c r="H27" s="1" t="n"/>
      <c r="I27" s="27">
        <f>ROUND(C27*Outcomes!K15+D27*Outcomes!K16+E27*Outcomes!K17+F27*Outcomes!K18+G27*Outcomes!K19,0)</f>
        <v/>
      </c>
      <c r="J27" s="1" t="n"/>
      <c r="K27" s="1" t="n"/>
    </row>
    <row r="28">
      <c r="A28" s="1" t="n"/>
      <c r="B28" s="25" t="n">
        <v>2130</v>
      </c>
      <c r="C28" s="26">
        <f>ROUND(100/(1+EXP(-Inputs!C15*(B28-Outcomes!L8))),0)</f>
        <v/>
      </c>
      <c r="D28" s="26">
        <f>ROUND(100/(1+EXP(-Inputs!C15*(B28-Outcomes!L9))),0)</f>
        <v/>
      </c>
      <c r="E28" s="26">
        <f>ROUND(100/(1+EXP(-Inputs!C15*(B28-Outcomes!L10))),0)</f>
        <v/>
      </c>
      <c r="F28" s="26">
        <f>ROUND(100/(1+EXP(-Inputs!C15*(B28-Outcomes!L11))),0)</f>
        <v/>
      </c>
      <c r="G28" s="26">
        <f>ROUND(100/(1+EXP(-Inputs!C15*(B28-Outcomes!L12))),0)</f>
        <v/>
      </c>
      <c r="H28" s="1" t="n"/>
      <c r="I28" s="27">
        <f>ROUND(C28*Outcomes!K15+D28*Outcomes!K16+E28*Outcomes!K17+F28*Outcomes!K18+G28*Outcomes!K19,0)</f>
        <v/>
      </c>
      <c r="J28" s="1" t="n"/>
      <c r="K28" s="1" t="n"/>
    </row>
    <row r="29">
      <c r="A29" s="1" t="n"/>
      <c r="B29" s="25" t="n">
        <v>2135</v>
      </c>
      <c r="C29" s="26">
        <f>ROUND(100/(1+EXP(-Inputs!C15*(B29-Outcomes!L8))),0)</f>
        <v/>
      </c>
      <c r="D29" s="26">
        <f>ROUND(100/(1+EXP(-Inputs!C15*(B29-Outcomes!L9))),0)</f>
        <v/>
      </c>
      <c r="E29" s="26">
        <f>ROUND(100/(1+EXP(-Inputs!C15*(B29-Outcomes!L10))),0)</f>
        <v/>
      </c>
      <c r="F29" s="26">
        <f>ROUND(100/(1+EXP(-Inputs!C15*(B29-Outcomes!L11))),0)</f>
        <v/>
      </c>
      <c r="G29" s="26">
        <f>ROUND(100/(1+EXP(-Inputs!C15*(B29-Outcomes!L12))),0)</f>
        <v/>
      </c>
      <c r="H29" s="1" t="n"/>
      <c r="I29" s="27">
        <f>ROUND(C29*Outcomes!K15+D29*Outcomes!K16+E29*Outcomes!K17+F29*Outcomes!K18+G29*Outcomes!K19,0)</f>
        <v/>
      </c>
      <c r="J29" s="1" t="n"/>
      <c r="K29" s="1" t="n"/>
    </row>
    <row r="30">
      <c r="A30" s="1" t="n"/>
      <c r="B30" s="25" t="n">
        <v>2140</v>
      </c>
      <c r="C30" s="26">
        <f>ROUND(100/(1+EXP(-Inputs!C15*(B30-Outcomes!L8))),0)</f>
        <v/>
      </c>
      <c r="D30" s="26">
        <f>ROUND(100/(1+EXP(-Inputs!C15*(B30-Outcomes!L9))),0)</f>
        <v/>
      </c>
      <c r="E30" s="26">
        <f>ROUND(100/(1+EXP(-Inputs!C15*(B30-Outcomes!L10))),0)</f>
        <v/>
      </c>
      <c r="F30" s="26">
        <f>ROUND(100/(1+EXP(-Inputs!C15*(B30-Outcomes!L11))),0)</f>
        <v/>
      </c>
      <c r="G30" s="26">
        <f>ROUND(100/(1+EXP(-Inputs!C15*(B30-Outcomes!L12))),0)</f>
        <v/>
      </c>
      <c r="H30" s="1" t="n"/>
      <c r="I30" s="27">
        <f>ROUND(C30*Outcomes!K15+D30*Outcomes!K16+E30*Outcomes!K17+F30*Outcomes!K18+G30*Outcomes!K19,0)</f>
        <v/>
      </c>
      <c r="J30" s="1" t="n"/>
      <c r="K30" s="1" t="n"/>
    </row>
    <row r="31">
      <c r="A31" s="1" t="n"/>
      <c r="B31" s="25" t="n">
        <v>2145</v>
      </c>
      <c r="C31" s="26">
        <f>ROUND(100/(1+EXP(-Inputs!C15*(B31-Outcomes!L8))),0)</f>
        <v/>
      </c>
      <c r="D31" s="26">
        <f>ROUND(100/(1+EXP(-Inputs!C15*(B31-Outcomes!L9))),0)</f>
        <v/>
      </c>
      <c r="E31" s="26">
        <f>ROUND(100/(1+EXP(-Inputs!C15*(B31-Outcomes!L10))),0)</f>
        <v/>
      </c>
      <c r="F31" s="26">
        <f>ROUND(100/(1+EXP(-Inputs!C15*(B31-Outcomes!L11))),0)</f>
        <v/>
      </c>
      <c r="G31" s="26">
        <f>ROUND(100/(1+EXP(-Inputs!C15*(B31-Outcomes!L12))),0)</f>
        <v/>
      </c>
      <c r="H31" s="1" t="n"/>
      <c r="I31" s="27">
        <f>ROUND(C31*Outcomes!K15+D31*Outcomes!K16+E31*Outcomes!K17+F31*Outcomes!K18+G31*Outcomes!K19,0)</f>
        <v/>
      </c>
      <c r="J31" s="1" t="n"/>
      <c r="K31" s="1" t="n"/>
    </row>
    <row r="32">
      <c r="A32" s="1" t="n"/>
      <c r="B32" s="25" t="n">
        <v>2150</v>
      </c>
      <c r="C32" s="26">
        <f>ROUND(100/(1+EXP(-Inputs!C15*(B32-Outcomes!L8))),0)</f>
        <v/>
      </c>
      <c r="D32" s="26">
        <f>ROUND(100/(1+EXP(-Inputs!C15*(B32-Outcomes!L9))),0)</f>
        <v/>
      </c>
      <c r="E32" s="26">
        <f>ROUND(100/(1+EXP(-Inputs!C15*(B32-Outcomes!L10))),0)</f>
        <v/>
      </c>
      <c r="F32" s="26">
        <f>ROUND(100/(1+EXP(-Inputs!C15*(B32-Outcomes!L11))),0)</f>
        <v/>
      </c>
      <c r="G32" s="26">
        <f>ROUND(100/(1+EXP(-Inputs!C15*(B32-Outcomes!L12))),0)</f>
        <v/>
      </c>
      <c r="H32" s="1" t="n"/>
      <c r="I32" s="27">
        <f>ROUND(C32*Outcomes!K15+D32*Outcomes!K16+E32*Outcomes!K17+F32*Outcomes!K18+G32*Outcomes!K19,0)</f>
        <v/>
      </c>
      <c r="J32" s="1" t="n"/>
      <c r="K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</sheetData>
  <mergeCells count="3">
    <mergeCell ref="B3:I3"/>
    <mergeCell ref="B2:I2"/>
    <mergeCell ref="B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2026-03-01T22:10:42Z</dcterms:created>
  <dcterms:modified xmlns:dcterms="http://purl.org/dc/terms/" xmlns:xsi="http://www.w3.org/2001/XMLSchema-instance" xsi:type="dcterms:W3CDTF">2026-03-01T22:10:42Z</dcterms:modified>
</cp:coreProperties>
</file>